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الملخص" sheetId="3" state="visible" r:id="rId3"/>
  </sheets>
  <definedNames>
    <definedName name="TaxRate">Settings!$B$1</definedName>
    <definedName name="_xlnm._FilterDatabase" localSheetId="0" hidden="1">'Sales'!$A$1:$D$4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yyyy-mm-dd"/>
    <numFmt numFmtId="166" formatCode="dd/mm/yyyy"/>
    <numFmt numFmtId="167" formatCode="#,##0.00;[Red]-#,##0.00"/>
  </numFmts>
  <fonts count="2">
    <font>
      <name val="Calibri"/>
      <family val="2"/>
      <color theme="1"/>
      <sz val="11"/>
      <scheme val="minor"/>
    </font>
    <font>
      <name val="Arial"/>
      <b val="1"/>
      <i val="1"/>
      <color rgb="FFC00000"/>
      <sz val="14"/>
    </font>
  </fonts>
  <fills count="3">
    <fill>
      <patternFill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top style="thin">
        <color rgb="FF000000"/>
      </top>
      <bottom style="double">
        <color rgb="FF0E5A3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right" vertical="center" wrapText="1"/>
    </xf>
    <xf numFmtId="0" fontId="0" fillId="0" borderId="1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'Sales'!$A$2:$A$4</f>
            </numRef>
          </cat>
          <val>
            <numRef>
              <f>'Sales'!$B$2:$B$4</f>
            </numRef>
          </val>
        </ser>
        <ser>
          <idx val="1"/>
          <order val="1"/>
          <tx>
            <strRef>
              <f>'Sales'!C1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'Sales'!$A$2:$A$4</f>
            </numRef>
          </cat>
          <val>
            <numRef>
              <f>'Sales'!$C$2:$C$4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Fixture</author>
  </authors>
  <commentList>
    <comment ref="A2" authorId="0" shapeId="0">
      <text>
        <t>Head office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</row>
      <rowOff>0</rowOff>
    </from>
    <ext cx="38100" cy="285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uilt-in-saudi.com" TargetMode="External" Id="rId1"/><Relationship Type="http://schemas.openxmlformats.org/officeDocument/2006/relationships/drawing" Target="/xl/drawings/drawing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hidden="1" width="13" customWidth="1" min="6" max="6"/>
  </cols>
  <sheetData>
    <row r="1" ht="30" customHeight="1">
      <c r="A1" s="1" t="inlineStr">
        <is>
          <t>Region</t>
        </is>
      </c>
      <c r="B1" s="2" t="inlineStr">
        <is>
          <t>Q1</t>
        </is>
      </c>
      <c r="C1" t="inlineStr">
        <is>
          <t>Q2</t>
        </is>
      </c>
      <c r="D1" t="inlineStr">
        <is>
          <t>Total</t>
        </is>
      </c>
    </row>
    <row r="2">
      <c r="A2" t="inlineStr">
        <is>
          <t>Riyadh</t>
        </is>
      </c>
      <c r="B2" t="n">
        <v>120</v>
      </c>
      <c r="C2" t="n">
        <v>135</v>
      </c>
      <c r="D2">
        <f>SUM(B2:C2)</f>
        <v/>
      </c>
    </row>
    <row r="3">
      <c r="A3" t="inlineStr">
        <is>
          <t>Jeddah</t>
        </is>
      </c>
      <c r="B3" t="n">
        <v>98</v>
      </c>
      <c r="C3" t="n">
        <v>110</v>
      </c>
      <c r="D3">
        <f>SUM(B3:C3)</f>
        <v/>
      </c>
    </row>
    <row r="4">
      <c r="A4" t="inlineStr">
        <is>
          <t>Dammam</t>
        </is>
      </c>
      <c r="B4" t="n">
        <v>75.5</v>
      </c>
      <c r="C4" t="n">
        <v>80</v>
      </c>
      <c r="D4">
        <f>SUM(B4:C4)</f>
        <v/>
      </c>
    </row>
    <row r="6">
      <c r="A6" s="3" t="inlineStr">
        <is>
          <t>Grand total</t>
        </is>
      </c>
      <c r="D6" s="4">
        <f>SUM(D2:D4)</f>
        <v/>
      </c>
    </row>
    <row r="8">
      <c r="B8" s="5" t="n">
        <v>0.075</v>
      </c>
    </row>
    <row r="9">
      <c r="B9" s="6" t="n">
        <v>46272</v>
      </c>
    </row>
    <row r="10">
      <c r="B10" s="7" t="n">
        <v>1234567.891</v>
      </c>
    </row>
    <row r="11">
      <c r="B11" t="inlineStr">
        <is>
          <t>0501234567</t>
        </is>
      </c>
    </row>
    <row r="12">
      <c r="B12" t="b">
        <v>1</v>
      </c>
    </row>
    <row r="13">
      <c r="B13">
        <f>1/0</f>
        <v/>
      </c>
    </row>
    <row r="14">
      <c r="B14">
        <f>Settings!B1*D6</f>
        <v/>
      </c>
    </row>
    <row r="15">
      <c r="B15">
        <f>TaxRate*100</f>
        <v/>
      </c>
    </row>
    <row r="16" hidden="1"/>
    <row r="17">
      <c r="A17" t="inlineStr">
        <is>
          <t>Merged note</t>
        </is>
      </c>
    </row>
    <row r="18"/>
  </sheetData>
  <autoFilter ref="A1:D4"/>
  <mergeCells count="1">
    <mergeCell ref="A17:C18"/>
  </mergeCells>
  <conditionalFormatting sqref="B2:C4">
    <cfRule type="cellIs" priority="1" operator="greaterThan" dxfId="0">
      <formula>100</formula>
    </cfRule>
  </conditionalFormatting>
  <conditionalFormatting sqref="D2:D4">
    <cfRule type="colorScale" priority="2">
      <colorScale>
        <cfvo type="min"/>
        <cfvo type="max"/>
        <color rgb="FFF8696B"/>
        <color rgb="FF63BE7B"/>
      </colorScale>
    </cfRule>
  </conditionalFormatting>
  <dataValidations count="1">
    <dataValidation sqref="E2:E4" showDropDown="0" showInputMessage="0" showErrorMessage="0" allowBlank="1" type="list">
      <formula1>"Open,Closed,Pending"</formula1>
    </dataValidation>
  </dataValidations>
  <hyperlinks>
    <hyperlink xmlns:r="http://schemas.openxmlformats.org/officeDocument/2006/relationships" ref="A3" r:id="rId1"/>
  </hyperlinks>
  <pageMargins left="0.75" right="0.75" top="1" bottom="1" header="0.5" footer="0.5"/>
  <drawing xmlns:r="http://schemas.openxmlformats.org/officeDocument/2006/relationships" r:id="rId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</t>
        </is>
      </c>
      <c r="B1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E5A3F"/>
    <outlinePr summaryBelow="1" summaryRight="1"/>
    <pageSetUpPr/>
  </sheetPr>
  <dimension ref="A1:B1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المنطقة</t>
        </is>
      </c>
      <c r="B1">
        <f>Sales!D6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2026-10-29T12:32:09Z</dcterms:created>
  <dcterms:modified xmlns:dcterms="http://purl.org/dc/terms/" xmlns:xsi="http://www.w3.org/2001/XMLSchema-instance" xsi:type="dcterms:W3CDTF">2026-10-29T12:32:09Z</dcterms:modified>
</cp:coreProperties>
</file>